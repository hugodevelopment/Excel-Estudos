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-Gamer\Desktop\"/>
    </mc:Choice>
  </mc:AlternateContent>
  <xr:revisionPtr revIDLastSave="0" documentId="13_ncr:1_{37CEC1EA-22E1-4AE3-9E27-9A47DE437121}" xr6:coauthVersionLast="47" xr6:coauthVersionMax="47" xr10:uidLastSave="{00000000-0000-0000-0000-000000000000}"/>
  <bookViews>
    <workbookView xWindow="-120" yWindow="-120" windowWidth="24240" windowHeight="13140" activeTab="1" xr2:uid="{C41FC435-918B-4C94-B3B3-D6093BC572A2}"/>
  </bookViews>
  <sheets>
    <sheet name="Date Due Tracker" sheetId="5" r:id="rId1"/>
    <sheet name="Planilha1" sheetId="6" r:id="rId2"/>
    <sheet name="Planilha2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6" l="1"/>
  <c r="A3" i="7" s="1"/>
  <c r="A3" i="6"/>
  <c r="A2" i="7" s="1"/>
  <c r="A2" i="6"/>
  <c r="E3" i="5"/>
  <c r="D4" i="5"/>
  <c r="E4" i="5" s="1"/>
  <c r="D7" i="5"/>
  <c r="E7" i="5" s="1"/>
  <c r="D6" i="5"/>
  <c r="E6" i="5" s="1"/>
  <c r="D5" i="5"/>
  <c r="E5" i="5" s="1"/>
  <c r="B2" i="7" l="1"/>
  <c r="B3" i="7"/>
  <c r="A1" i="7"/>
  <c r="B1" i="7" s="1"/>
  <c r="B4" i="7"/>
</calcChain>
</file>

<file path=xl/sharedStrings.xml><?xml version="1.0" encoding="utf-8"?>
<sst xmlns="http://schemas.openxmlformats.org/spreadsheetml/2006/main" count="15" uniqueCount="15">
  <si>
    <t>Invoice no.</t>
  </si>
  <si>
    <t>Invoice Amount</t>
  </si>
  <si>
    <t>Date Due</t>
  </si>
  <si>
    <t>INV1</t>
  </si>
  <si>
    <t>INV2</t>
  </si>
  <si>
    <t>INV3</t>
  </si>
  <si>
    <t>INV4</t>
  </si>
  <si>
    <t>INV5</t>
  </si>
  <si>
    <t>Send Reminder?</t>
  </si>
  <si>
    <t>Bring Forward Reminder (days)</t>
  </si>
  <si>
    <t>Data</t>
  </si>
  <si>
    <t>B</t>
  </si>
  <si>
    <t>C</t>
  </si>
  <si>
    <t>D</t>
  </si>
  <si>
    <t>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</si>
</sst>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_-&quot;£&quot;* #,##0_-;\-&quot;£&quot;* #,##0_-;_-&quot;£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165" fontId="0" fillId="0" borderId="1" xfId="1" applyNumberFormat="1" applyFont="1" applyFill="1" applyBorder="1"/>
    <xf numFmtId="14" fontId="0" fillId="0" borderId="1" xfId="0" applyNumberFormat="1" applyBorder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14" fontId="0" fillId="0" borderId="0" xfId="0" applyNumberFormat="1"/>
  </cellXfs>
  <cellStyles count="2">
    <cellStyle name="Moeda" xfId="1" builtinId="4"/>
    <cellStyle name="Normal" xfId="0" builtinId="0"/>
  </cellStyles>
  <dxfs count="1"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C4DFB-2AF8-42A1-9ED7-B326A7FC450D}">
  <sheetPr codeName="Sheet2"/>
  <dimension ref="B2:H7"/>
  <sheetViews>
    <sheetView zoomScale="190" zoomScaleNormal="190" workbookViewId="0">
      <selection activeCell="H3" sqref="H3"/>
    </sheetView>
  </sheetViews>
  <sheetFormatPr defaultRowHeight="15" x14ac:dyDescent="0.25"/>
  <cols>
    <col min="2" max="2" width="10.28515625" bestFit="1" customWidth="1"/>
    <col min="3" max="3" width="14.5703125" bestFit="1" customWidth="1"/>
    <col min="4" max="4" width="10.85546875" bestFit="1" customWidth="1"/>
    <col min="5" max="5" width="16.5703125" customWidth="1"/>
    <col min="7" max="7" width="27.5703125" bestFit="1" customWidth="1"/>
  </cols>
  <sheetData>
    <row r="2" spans="2:8" x14ac:dyDescent="0.25">
      <c r="B2" s="4" t="s">
        <v>0</v>
      </c>
      <c r="C2" s="4" t="s">
        <v>1</v>
      </c>
      <c r="D2" s="4" t="s">
        <v>2</v>
      </c>
      <c r="E2" s="5" t="s">
        <v>8</v>
      </c>
      <c r="G2" s="4" t="s">
        <v>9</v>
      </c>
      <c r="H2" s="6">
        <v>2</v>
      </c>
    </row>
    <row r="3" spans="2:8" x14ac:dyDescent="0.25">
      <c r="B3" s="1" t="s">
        <v>3</v>
      </c>
      <c r="C3" s="2">
        <v>4153</v>
      </c>
      <c r="D3" s="3">
        <v>45297</v>
      </c>
      <c r="E3" s="3" t="str">
        <f ca="1">IF(AND(D3&lt;&gt;"",TODAY()+$H$2&gt;=D3),"Yes","")</f>
        <v>Yes</v>
      </c>
    </row>
    <row r="4" spans="2:8" x14ac:dyDescent="0.25">
      <c r="B4" s="1" t="s">
        <v>4</v>
      </c>
      <c r="C4" s="2">
        <v>4334</v>
      </c>
      <c r="D4" s="3">
        <f ca="1">TODAY()+10</f>
        <v>45309</v>
      </c>
      <c r="E4" s="3" t="str">
        <f t="shared" ref="E4:E7" ca="1" si="0">IF(AND(D4&lt;&gt;"",TODAY()+$H$2&gt;=D4),"Yes","")</f>
        <v/>
      </c>
    </row>
    <row r="5" spans="2:8" x14ac:dyDescent="0.25">
      <c r="B5" s="1" t="s">
        <v>5</v>
      </c>
      <c r="C5" s="2">
        <v>6339</v>
      </c>
      <c r="D5" s="3">
        <f ca="1">TODAY()+1</f>
        <v>45300</v>
      </c>
      <c r="E5" s="3" t="str">
        <f t="shared" ca="1" si="0"/>
        <v>Yes</v>
      </c>
    </row>
    <row r="6" spans="2:8" x14ac:dyDescent="0.25">
      <c r="B6" s="1" t="s">
        <v>6</v>
      </c>
      <c r="C6" s="2">
        <v>1611</v>
      </c>
      <c r="D6" s="3">
        <f ca="1">TODAY()-30</f>
        <v>45269</v>
      </c>
      <c r="E6" s="3" t="str">
        <f t="shared" ca="1" si="0"/>
        <v>Yes</v>
      </c>
    </row>
    <row r="7" spans="2:8" x14ac:dyDescent="0.25">
      <c r="B7" s="1" t="s">
        <v>7</v>
      </c>
      <c r="C7" s="2">
        <v>6368</v>
      </c>
      <c r="D7" s="3">
        <f ca="1">TODAY()+45</f>
        <v>45344</v>
      </c>
      <c r="E7" s="3" t="str">
        <f t="shared" ca="1" si="0"/>
        <v/>
      </c>
    </row>
  </sheetData>
  <conditionalFormatting sqref="D3:D7">
    <cfRule type="expression" dxfId="0" priority="1">
      <formula>AND(D3&lt;&gt;"",TODAY()+$H$2&gt;=D3)</formula>
    </cfRule>
  </conditionalFormatting>
  <dataValidations count="1">
    <dataValidation type="custom" allowBlank="1" showInputMessage="1" showErrorMessage="1" errorTitle="Date Due" error="Please enter the due date in the correct format dd/mm/yyyy_x000a__x000a_Thanks!" sqref="D3:D7" xr:uid="{2E29567B-1A99-43D6-91B7-A7779ABD7CD1}">
      <formula1>ISNUMBER(D3)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6978-FB26-4FC7-9259-BEF4B387ED47}">
  <dimension ref="A1:B5"/>
  <sheetViews>
    <sheetView tabSelected="1" workbookViewId="0">
      <selection activeCell="B3" sqref="B3"/>
    </sheetView>
  </sheetViews>
  <sheetFormatPr defaultRowHeight="15" x14ac:dyDescent="0.25"/>
  <cols>
    <col min="1" max="1" width="10.7109375" bestFit="1" customWidth="1"/>
  </cols>
  <sheetData>
    <row r="1" spans="1:2" x14ac:dyDescent="0.25">
      <c r="A1" t="s">
        <v>10</v>
      </c>
    </row>
    <row r="2" spans="1:2" x14ac:dyDescent="0.25">
      <c r="A2" s="7">
        <f ca="1">TODAY()</f>
        <v>45299</v>
      </c>
      <c r="B2" t="s">
        <v>14</v>
      </c>
    </row>
    <row r="3" spans="1:2" x14ac:dyDescent="0.25">
      <c r="A3" s="7">
        <f ca="1">TODAY()+1</f>
        <v>45300</v>
      </c>
      <c r="B3" t="s">
        <v>11</v>
      </c>
    </row>
    <row r="4" spans="1:2" x14ac:dyDescent="0.25">
      <c r="A4" s="7">
        <f ca="1">TODAY()+2</f>
        <v>45301</v>
      </c>
      <c r="B4" t="s">
        <v>12</v>
      </c>
    </row>
    <row r="5" spans="1:2" x14ac:dyDescent="0.25">
      <c r="A5" s="7"/>
      <c r="B5" t="s">
        <v>13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C77-DB82-4129-A539-1C3778FBEA7C}"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</cols>
  <sheetData>
    <row r="1" spans="1:2" x14ac:dyDescent="0.25">
      <c r="A1" s="7">
        <f ca="1">Planilha1!A2</f>
        <v>45299</v>
      </c>
      <c r="B1" t="str">
        <f ca="1">VLOOKUP(A1, Planilha1!A:B, 2, FALSE)</f>
        <v>AH</v>
      </c>
    </row>
    <row r="2" spans="1:2" x14ac:dyDescent="0.25">
      <c r="A2" s="7">
        <f ca="1">Planilha1!A3</f>
        <v>45300</v>
      </c>
      <c r="B2" t="str">
        <f ca="1">VLOOKUP(A2, Planilha1!A:B, 2, FALSE)</f>
        <v>B</v>
      </c>
    </row>
    <row r="3" spans="1:2" x14ac:dyDescent="0.25">
      <c r="A3" s="7">
        <f ca="1">Planilha1!A4</f>
        <v>45301</v>
      </c>
      <c r="B3" t="str">
        <f ca="1">VLOOKUP(A3, Planilha1!A:B, 2, FALSE)</f>
        <v>C</v>
      </c>
    </row>
    <row r="4" spans="1:2" x14ac:dyDescent="0.25">
      <c r="B4" t="e">
        <f ca="1">VLOOKUP(A4, Planilha1!A:B, 2, FALSE)</f>
        <v>#N/A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Date Due Tracker</vt:lpstr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Hugo Costa</cp:lastModifiedBy>
  <dcterms:created xsi:type="dcterms:W3CDTF">2021-04-14T10:44:24Z</dcterms:created>
  <dcterms:modified xsi:type="dcterms:W3CDTF">2024-01-08T16:48:24Z</dcterms:modified>
</cp:coreProperties>
</file>